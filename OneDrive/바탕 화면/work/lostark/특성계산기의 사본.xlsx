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질풍" sheetId="1" r:id="rId5"/>
  </sheets>
  <definedNames/>
  <calcPr/>
</workbook>
</file>

<file path=xl/sharedStrings.xml><?xml version="1.0" encoding="utf-8"?>
<sst xmlns="http://schemas.openxmlformats.org/spreadsheetml/2006/main" count="46" uniqueCount="40">
  <si>
    <t>[파일 메뉴]에서 - [사본 만들기]를 해서 복사본을 사용하세요. ***편집권한 요청 ㄴㄴ 알람이 싫음 ㅠ</t>
  </si>
  <si>
    <t>구분</t>
  </si>
  <si>
    <t>치적</t>
  </si>
  <si>
    <t>공이속</t>
  </si>
  <si>
    <t>재감</t>
  </si>
  <si>
    <t>수정가능</t>
  </si>
  <si>
    <t>치명 1당</t>
  </si>
  <si>
    <t>신속 1당</t>
  </si>
  <si>
    <t>치명</t>
  </si>
  <si>
    <t>특화</t>
  </si>
  <si>
    <t>신속</t>
  </si>
  <si>
    <t>펫효과</t>
  </si>
  <si>
    <t>악패 수치</t>
  </si>
  <si>
    <t>악패 특성</t>
  </si>
  <si>
    <t>원정대 특성</t>
  </si>
  <si>
    <t>팔찌 특성</t>
  </si>
  <si>
    <t>특성 합계</t>
  </si>
  <si>
    <t>특성</t>
  </si>
  <si>
    <t>질풍노도-직각</t>
  </si>
  <si>
    <t>시너지-돌개바람</t>
  </si>
  <si>
    <t>예리한 감각</t>
  </si>
  <si>
    <t>혼신의 강타</t>
  </si>
  <si>
    <t>반지 1</t>
  </si>
  <si>
    <t>번지 2</t>
  </si>
  <si>
    <t>달인</t>
  </si>
  <si>
    <t>아드레날린</t>
  </si>
  <si>
    <t>정밀단도</t>
  </si>
  <si>
    <t>합계</t>
  </si>
  <si>
    <t>서폿</t>
  </si>
  <si>
    <t>만찬</t>
  </si>
  <si>
    <t>질풍노도(Z)</t>
  </si>
  <si>
    <t>팔찌</t>
  </si>
  <si>
    <t>질증</t>
  </si>
  <si>
    <t>파괴전차</t>
  </si>
  <si>
    <t>공속</t>
  </si>
  <si>
    <t>이속</t>
  </si>
  <si>
    <t>기본 증가</t>
  </si>
  <si>
    <t>초과 - 기본</t>
  </si>
  <si>
    <t>초과 - 추가</t>
  </si>
  <si>
    <t>음돌 진피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</si>
</sst>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0000"/>
      <name val="Calibri"/>
      <scheme val="minor"/>
    </font>
    <font>
      <color theme="1"/>
      <name val="Calibri"/>
      <scheme val="minor"/>
    </font>
    <font>
      <sz val="9.0"/>
      <color theme="1"/>
      <name val="Calibri"/>
      <scheme val="minor"/>
    </font>
    <font>
      <sz val="11.0"/>
      <color rgb="FF000000"/>
      <name val="&quot;Malgun Gothic&quot;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1" fillId="0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  <xf borderId="3" fillId="0" fontId="0" numFmtId="0" xfId="0" applyAlignment="1" applyBorder="1" applyFont="1">
      <alignment horizontal="center" vertical="center"/>
    </xf>
    <xf borderId="4" fillId="2" fontId="0" numFmtId="0" xfId="0" applyAlignment="1" applyBorder="1" applyFill="1" applyFont="1">
      <alignment horizontal="center" vertical="center"/>
    </xf>
    <xf borderId="4" fillId="0" fontId="0" numFmtId="0" xfId="0" applyAlignment="1" applyBorder="1" applyFont="1">
      <alignment horizontal="center" vertical="center"/>
    </xf>
    <xf borderId="5" fillId="0" fontId="0" numFmtId="0" xfId="0" applyAlignment="1" applyBorder="1" applyFont="1">
      <alignment horizontal="center" vertical="center"/>
    </xf>
    <xf borderId="6" fillId="0" fontId="0" numFmtId="0" xfId="0" applyAlignment="1" applyBorder="1" applyFont="1">
      <alignment horizontal="center" vertical="center"/>
    </xf>
    <xf borderId="7" fillId="0" fontId="0" numFmtId="0" xfId="0" applyAlignment="1" applyBorder="1" applyFont="1">
      <alignment horizontal="center" vertical="center"/>
    </xf>
    <xf borderId="8" fillId="0" fontId="0" numFmtId="0" xfId="0" applyAlignment="1" applyBorder="1" applyFont="1">
      <alignment horizontal="center" vertical="center"/>
    </xf>
    <xf borderId="9" fillId="0" fontId="0" numFmtId="0" xfId="0" applyAlignment="1" applyBorder="1" applyFont="1">
      <alignment horizontal="center" vertical="center"/>
    </xf>
    <xf borderId="0" fillId="0" fontId="0" numFmtId="0" xfId="0" applyAlignment="1" applyFont="1">
      <alignment horizontal="center" vertical="center"/>
    </xf>
    <xf borderId="10" fillId="0" fontId="0" numFmtId="0" xfId="0" applyAlignment="1" applyBorder="1" applyFont="1">
      <alignment horizontal="center" vertical="center"/>
    </xf>
    <xf borderId="11" fillId="2" fontId="0" numFmtId="0" xfId="0" applyAlignment="1" applyBorder="1" applyFont="1">
      <alignment horizontal="center" readingOrder="0" vertical="center"/>
    </xf>
    <xf borderId="12" fillId="0" fontId="0" numFmtId="0" xfId="0" applyAlignment="1" applyBorder="1" applyFont="1">
      <alignment horizontal="center" readingOrder="0" vertical="center"/>
    </xf>
    <xf borderId="13" fillId="2" fontId="0" numFmtId="0" xfId="0" applyAlignment="1" applyBorder="1" applyFont="1">
      <alignment horizontal="center" readingOrder="0" vertical="center"/>
    </xf>
    <xf borderId="14" fillId="2" fontId="0" numFmtId="0" xfId="0" applyAlignment="1" applyBorder="1" applyFont="1">
      <alignment horizontal="center" readingOrder="0" vertical="center"/>
    </xf>
    <xf borderId="15" fillId="0" fontId="0" numFmtId="0" xfId="0" applyAlignment="1" applyBorder="1" applyFont="1">
      <alignment horizontal="center" vertical="center"/>
    </xf>
    <xf borderId="16" fillId="3" fontId="0" numFmtId="0" xfId="0" applyAlignment="1" applyBorder="1" applyFill="1" applyFont="1">
      <alignment horizontal="center" vertical="center"/>
    </xf>
    <xf borderId="17" fillId="3" fontId="0" numFmtId="0" xfId="0" applyAlignment="1" applyBorder="1" applyFont="1">
      <alignment horizontal="center" vertical="center"/>
    </xf>
    <xf borderId="18" fillId="0" fontId="0" numFmtId="0" xfId="0" applyAlignment="1" applyBorder="1" applyFont="1">
      <alignment horizontal="center" readingOrder="0" vertical="center"/>
    </xf>
    <xf borderId="19" fillId="3" fontId="0" numFmtId="0" xfId="0" applyAlignment="1" applyBorder="1" applyFont="1">
      <alignment horizontal="center" vertical="center"/>
    </xf>
    <xf borderId="20" fillId="3" fontId="0" numFmtId="0" xfId="0" applyAlignment="1" applyBorder="1" applyFont="1">
      <alignment horizontal="center" vertical="center"/>
    </xf>
    <xf borderId="0" fillId="0" fontId="0" numFmtId="0" xfId="0" applyAlignment="1" applyFont="1">
      <alignment vertical="center"/>
    </xf>
    <xf borderId="19" fillId="2" fontId="0" numFmtId="0" xfId="0" applyAlignment="1" applyBorder="1" applyFont="1">
      <alignment horizontal="center" readingOrder="0" vertical="center"/>
    </xf>
    <xf borderId="20" fillId="2" fontId="0" numFmtId="0" xfId="0" applyAlignment="1" applyBorder="1" applyFont="1">
      <alignment horizontal="center" readingOrder="0" vertical="center"/>
    </xf>
    <xf borderId="5" fillId="0" fontId="0" numFmtId="0" xfId="0" applyAlignment="1" applyBorder="1" applyFont="1">
      <alignment horizontal="center" readingOrder="0" vertical="center"/>
    </xf>
    <xf borderId="4" fillId="2" fontId="0" numFmtId="0" xfId="0" applyAlignment="1" applyBorder="1" applyFont="1">
      <alignment horizontal="center" readingOrder="0" vertical="center"/>
    </xf>
    <xf borderId="6" fillId="2" fontId="0" numFmtId="0" xfId="0" applyAlignment="1" applyBorder="1" applyFont="1">
      <alignment horizontal="center" readingOrder="0" vertical="center"/>
    </xf>
    <xf borderId="7" fillId="0" fontId="0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21" fillId="0" fontId="0" numFmtId="0" xfId="0" applyAlignment="1" applyBorder="1" applyFont="1">
      <alignment horizontal="center" readingOrder="0" vertical="center"/>
    </xf>
    <xf borderId="22" fillId="0" fontId="0" numFmtId="0" xfId="0" applyAlignment="1" applyBorder="1" applyFont="1">
      <alignment horizontal="center" vertical="center"/>
    </xf>
    <xf borderId="23" fillId="0" fontId="0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2" fillId="0" fontId="0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24" fillId="0" fontId="0" numFmtId="2" xfId="0" applyAlignment="1" applyBorder="1" applyFont="1" applyNumberFormat="1">
      <alignment horizontal="center" vertical="center"/>
    </xf>
    <xf borderId="25" fillId="3" fontId="2" numFmtId="2" xfId="0" applyAlignment="1" applyBorder="1" applyFont="1" applyNumberFormat="1">
      <alignment horizontal="center" readingOrder="0" vertical="center"/>
    </xf>
    <xf borderId="8" fillId="4" fontId="2" numFmtId="0" xfId="0" applyAlignment="1" applyBorder="1" applyFill="1" applyFont="1">
      <alignment horizontal="center" readingOrder="0" vertical="center"/>
    </xf>
    <xf borderId="8" fillId="4" fontId="2" numFmtId="1" xfId="0" applyAlignment="1" applyBorder="1" applyFont="1" applyNumberFormat="1">
      <alignment horizontal="center" readingOrder="0" vertical="center"/>
    </xf>
    <xf borderId="9" fillId="0" fontId="2" numFmtId="2" xfId="0" applyAlignment="1" applyBorder="1" applyFont="1" applyNumberFormat="1">
      <alignment vertical="center"/>
    </xf>
    <xf borderId="0" fillId="0" fontId="0" numFmtId="2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0" numFmtId="2" xfId="0" applyAlignment="1" applyFont="1" applyNumberFormat="1">
      <alignment horizontal="center" readingOrder="0" vertical="center"/>
    </xf>
    <xf borderId="26" fillId="0" fontId="0" numFmtId="2" xfId="0" applyAlignment="1" applyBorder="1" applyFont="1" applyNumberFormat="1">
      <alignment horizontal="center" vertical="center"/>
    </xf>
    <xf borderId="27" fillId="3" fontId="0" numFmtId="0" xfId="0" applyAlignment="1" applyBorder="1" applyFont="1">
      <alignment horizontal="center" readingOrder="0" vertical="center"/>
    </xf>
    <xf borderId="27" fillId="3" fontId="2" numFmtId="0" xfId="0" applyAlignment="1" applyBorder="1" applyFont="1">
      <alignment horizontal="center" readingOrder="0" vertical="center"/>
    </xf>
    <xf borderId="27" fillId="3" fontId="2" numFmtId="1" xfId="0" applyAlignment="1" applyBorder="1" applyFont="1" applyNumberFormat="1">
      <alignment horizontal="center" readingOrder="0" vertical="center"/>
    </xf>
    <xf borderId="27" fillId="4" fontId="2" numFmtId="0" xfId="0" applyAlignment="1" applyBorder="1" applyFont="1">
      <alignment horizontal="center" readingOrder="0" vertical="center"/>
    </xf>
    <xf borderId="28" fillId="0" fontId="2" numFmtId="2" xfId="0" applyAlignment="1" applyBorder="1" applyFont="1" applyNumberFormat="1">
      <alignment horizontal="center" vertical="center"/>
    </xf>
    <xf borderId="23" fillId="0" fontId="0" numFmtId="0" xfId="0" applyAlignment="1" applyBorder="1" applyFont="1">
      <alignment horizontal="center" readingOrder="0" vertical="center"/>
    </xf>
    <xf borderId="29" fillId="0" fontId="0" numFmtId="2" xfId="0" applyAlignment="1" applyBorder="1" applyFont="1" applyNumberFormat="1">
      <alignment horizontal="center" vertical="center"/>
    </xf>
    <xf borderId="30" fillId="3" fontId="0" numFmtId="0" xfId="0" applyAlignment="1" applyBorder="1" applyFont="1">
      <alignment horizontal="center" readingOrder="0" vertical="center"/>
    </xf>
    <xf borderId="30" fillId="3" fontId="0" numFmtId="1" xfId="0" applyAlignment="1" applyBorder="1" applyFont="1" applyNumberFormat="1">
      <alignment horizontal="center" readingOrder="0" vertical="center"/>
    </xf>
    <xf borderId="30" fillId="3" fontId="2" numFmtId="0" xfId="0" applyAlignment="1" applyBorder="1" applyFont="1">
      <alignment horizontal="center" readingOrder="0" vertical="center"/>
    </xf>
    <xf borderId="31" fillId="0" fontId="2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32" fillId="0" fontId="4" numFmtId="0" xfId="0" applyAlignment="1" applyBorder="1" applyFont="1">
      <alignment horizontal="center" readingOrder="0" shrinkToFit="0" vertical="center" wrapText="0"/>
    </xf>
    <xf borderId="33" fillId="0" fontId="4" numFmtId="0" xfId="0" applyAlignment="1" applyBorder="1" applyFont="1">
      <alignment horizontal="center" readingOrder="0" shrinkToFit="0" vertical="center" wrapText="0"/>
    </xf>
    <xf borderId="22" fillId="0" fontId="2" numFmtId="0" xfId="0" applyAlignment="1" applyBorder="1" applyFont="1">
      <alignment horizontal="center" readingOrder="0" vertical="center"/>
    </xf>
    <xf borderId="34" fillId="0" fontId="4" numFmtId="0" xfId="0" applyAlignment="1" applyBorder="1" applyFont="1">
      <alignment horizontal="center" readingOrder="0" shrinkToFit="0" vertical="center" wrapText="0"/>
    </xf>
    <xf borderId="29" fillId="0" fontId="4" numFmtId="0" xfId="0" applyAlignment="1" applyBorder="1" applyFont="1">
      <alignment horizontal="center" readingOrder="0" shrinkToFit="0" vertical="center" wrapText="0"/>
    </xf>
    <xf borderId="29" fillId="0" fontId="4" numFmtId="2" xfId="0" applyAlignment="1" applyBorder="1" applyFont="1" applyNumberFormat="1">
      <alignment horizontal="center" readingOrder="0" shrinkToFit="0" vertical="center" wrapText="0"/>
    </xf>
    <xf borderId="35" fillId="0" fontId="4" numFmtId="2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5" width="15.43"/>
    <col customWidth="1" min="6" max="7" width="12.14"/>
    <col customWidth="1" min="8" max="10" width="8.71"/>
    <col customWidth="1" min="11" max="11" width="11.57"/>
    <col customWidth="1" min="12" max="12" width="9.57"/>
    <col customWidth="1" min="13" max="21" width="8.71"/>
  </cols>
  <sheetData>
    <row r="1" ht="16.5" customHeight="1"/>
    <row r="2" ht="16.5" customHeight="1">
      <c r="B2" s="1" t="s">
        <v>0</v>
      </c>
    </row>
    <row r="3" ht="16.5" customHeight="1"/>
    <row r="4" ht="16.5" customHeight="1">
      <c r="B4" s="2" t="s">
        <v>1</v>
      </c>
      <c r="C4" s="3" t="s">
        <v>2</v>
      </c>
      <c r="D4" s="3" t="s">
        <v>3</v>
      </c>
      <c r="E4" s="4" t="s">
        <v>4</v>
      </c>
      <c r="G4" s="5"/>
      <c r="H4" s="6" t="s">
        <v>5</v>
      </c>
    </row>
    <row r="5" ht="16.5" customHeight="1">
      <c r="B5" s="7" t="s">
        <v>6</v>
      </c>
      <c r="C5" s="6">
        <f>26.91/752</f>
        <v>0.03578457447</v>
      </c>
      <c r="D5" s="6"/>
      <c r="E5" s="8"/>
    </row>
    <row r="6" ht="16.5" customHeight="1">
      <c r="B6" s="9" t="s">
        <v>7</v>
      </c>
      <c r="C6" s="10"/>
      <c r="D6" s="10">
        <f>23.65/1377</f>
        <v>0.01717501816</v>
      </c>
      <c r="E6" s="11">
        <f>21.45/999</f>
        <v>0.02147147147</v>
      </c>
    </row>
    <row r="7" ht="16.5" customHeight="1"/>
    <row r="8" ht="16.5" customHeight="1">
      <c r="B8" s="2" t="s">
        <v>1</v>
      </c>
      <c r="C8" s="3" t="s">
        <v>8</v>
      </c>
      <c r="D8" s="3" t="s">
        <v>9</v>
      </c>
      <c r="E8" s="4" t="s">
        <v>10</v>
      </c>
      <c r="F8" s="12"/>
      <c r="G8" s="13" t="s">
        <v>11</v>
      </c>
      <c r="H8" s="14" t="s">
        <v>8</v>
      </c>
    </row>
    <row r="9" ht="16.5" customHeight="1">
      <c r="B9" s="15" t="s">
        <v>12</v>
      </c>
      <c r="C9" s="16">
        <v>16.0</v>
      </c>
      <c r="D9" s="16">
        <v>0.0</v>
      </c>
      <c r="E9" s="17">
        <v>24.0</v>
      </c>
      <c r="F9" s="12"/>
    </row>
    <row r="10" ht="7.5" customHeight="1">
      <c r="B10" s="18"/>
      <c r="C10" s="19"/>
      <c r="D10" s="19"/>
      <c r="E10" s="20"/>
      <c r="F10" s="12"/>
    </row>
    <row r="11" ht="16.5" customHeight="1">
      <c r="B11" s="21" t="s">
        <v>13</v>
      </c>
      <c r="C11" s="22">
        <f t="shared" ref="C11:E11" si="1">C9*50</f>
        <v>800</v>
      </c>
      <c r="D11" s="22">
        <f t="shared" si="1"/>
        <v>0</v>
      </c>
      <c r="E11" s="23">
        <f t="shared" si="1"/>
        <v>1200</v>
      </c>
      <c r="F11" s="12"/>
      <c r="G11" s="24"/>
      <c r="H11" s="24"/>
    </row>
    <row r="12" ht="16.5" customHeight="1">
      <c r="B12" s="21" t="s">
        <v>14</v>
      </c>
      <c r="C12" s="25">
        <v>73.0</v>
      </c>
      <c r="D12" s="25">
        <v>75.0</v>
      </c>
      <c r="E12" s="26">
        <v>77.0</v>
      </c>
      <c r="F12" s="12"/>
    </row>
    <row r="13" ht="16.5" customHeight="1">
      <c r="B13" s="27" t="s">
        <v>15</v>
      </c>
      <c r="C13" s="28">
        <v>91.0</v>
      </c>
      <c r="D13" s="28">
        <v>0.0</v>
      </c>
      <c r="E13" s="29">
        <v>97.0</v>
      </c>
      <c r="F13" s="12"/>
    </row>
    <row r="14" ht="16.5" customHeight="1">
      <c r="B14" s="30" t="s">
        <v>16</v>
      </c>
      <c r="C14" s="10">
        <f>IF(H8="치명",160)+(SUM(C12:C13)+C11)</f>
        <v>1124</v>
      </c>
      <c r="D14" s="10">
        <f>IF(H8="특화",160)+(SUM(D12:D13)+D11)</f>
        <v>75</v>
      </c>
      <c r="E14" s="11">
        <f>IF(H8="신속",160)+(SUM(E12:E13)+E11)</f>
        <v>1374</v>
      </c>
      <c r="F14" s="12"/>
    </row>
    <row r="15" ht="16.5" customHeight="1">
      <c r="B15" s="12"/>
      <c r="C15" s="31"/>
      <c r="D15" s="12"/>
      <c r="E15" s="12"/>
      <c r="F15" s="12"/>
    </row>
    <row r="16" ht="16.5" customHeight="1">
      <c r="B16" s="12"/>
      <c r="C16" s="32" t="s">
        <v>17</v>
      </c>
      <c r="D16" s="12"/>
      <c r="E16" s="12"/>
      <c r="F16" s="12"/>
    </row>
    <row r="17" ht="16.5" customHeight="1">
      <c r="B17" s="33" t="s">
        <v>4</v>
      </c>
      <c r="C17" s="34">
        <f>E14*E6</f>
        <v>29.5018018</v>
      </c>
      <c r="D17" s="31"/>
      <c r="E17" s="35"/>
      <c r="F17" s="35"/>
      <c r="G17" s="35"/>
      <c r="H17" s="35"/>
      <c r="I17" s="35"/>
      <c r="J17" s="36"/>
      <c r="K17" s="35"/>
      <c r="L17" s="35"/>
    </row>
    <row r="18" ht="6.0" customHeight="1">
      <c r="B18" s="12"/>
      <c r="D18" s="31"/>
      <c r="E18" s="35"/>
      <c r="F18" s="35"/>
      <c r="G18" s="35"/>
      <c r="H18" s="35"/>
      <c r="I18" s="35"/>
      <c r="J18" s="36"/>
      <c r="K18" s="35"/>
      <c r="L18" s="35"/>
    </row>
    <row r="19" ht="16.5" customHeight="1">
      <c r="B19" s="12"/>
      <c r="D19" s="37" t="s">
        <v>18</v>
      </c>
      <c r="E19" s="38" t="s">
        <v>19</v>
      </c>
      <c r="F19" s="39" t="s">
        <v>20</v>
      </c>
      <c r="G19" s="39" t="s">
        <v>21</v>
      </c>
      <c r="H19" s="39" t="s">
        <v>22</v>
      </c>
      <c r="I19" s="39" t="s">
        <v>23</v>
      </c>
      <c r="J19" s="39" t="s">
        <v>24</v>
      </c>
      <c r="K19" s="39" t="s">
        <v>25</v>
      </c>
      <c r="L19" s="39" t="s">
        <v>26</v>
      </c>
      <c r="M19" s="40" t="s">
        <v>27</v>
      </c>
    </row>
    <row r="20" ht="16.5" customHeight="1">
      <c r="B20" s="33" t="s">
        <v>2</v>
      </c>
      <c r="C20" s="41">
        <f>C14*C5</f>
        <v>40.2218617</v>
      </c>
      <c r="D20" s="42">
        <f>MIN(J24*0.3, 12)</f>
        <v>12</v>
      </c>
      <c r="E20" s="43">
        <v>10.0</v>
      </c>
      <c r="F20" s="43">
        <v>8.0</v>
      </c>
      <c r="G20" s="43">
        <v>0.0</v>
      </c>
      <c r="H20" s="43">
        <v>1.55</v>
      </c>
      <c r="I20" s="43">
        <v>1.55</v>
      </c>
      <c r="J20" s="43">
        <v>0.0</v>
      </c>
      <c r="K20" s="44">
        <v>17.0</v>
      </c>
      <c r="L20" s="44">
        <v>0.0</v>
      </c>
      <c r="M20" s="45">
        <f>SUM(C20:L20)</f>
        <v>90.3218617</v>
      </c>
    </row>
    <row r="21" ht="8.25" customHeight="1">
      <c r="B21" s="31"/>
      <c r="C21" s="46"/>
      <c r="D21" s="31"/>
      <c r="E21" s="35"/>
      <c r="F21" s="35"/>
      <c r="G21" s="35"/>
      <c r="H21" s="35"/>
      <c r="I21" s="35"/>
      <c r="J21" s="35"/>
      <c r="K21" s="47"/>
      <c r="L21" s="47"/>
    </row>
    <row r="22" ht="16.5" customHeight="1">
      <c r="B22" s="31"/>
      <c r="C22" s="48"/>
      <c r="D22" s="37" t="s">
        <v>28</v>
      </c>
      <c r="E22" s="39" t="s">
        <v>29</v>
      </c>
      <c r="F22" s="39" t="s">
        <v>30</v>
      </c>
      <c r="G22" s="39" t="s">
        <v>31</v>
      </c>
      <c r="H22" s="39" t="s">
        <v>32</v>
      </c>
      <c r="I22" s="39" t="s">
        <v>33</v>
      </c>
      <c r="J22" s="40" t="s">
        <v>27</v>
      </c>
      <c r="K22" s="47"/>
      <c r="L22" s="47"/>
    </row>
    <row r="23" ht="16.5" customHeight="1">
      <c r="B23" s="32" t="s">
        <v>34</v>
      </c>
      <c r="C23" s="49">
        <f>D6*E14</f>
        <v>23.59847495</v>
      </c>
      <c r="D23" s="50">
        <v>9.0</v>
      </c>
      <c r="E23" s="51">
        <v>5.0</v>
      </c>
      <c r="F23" s="52">
        <v>12.0</v>
      </c>
      <c r="G23" s="53">
        <v>0.0</v>
      </c>
      <c r="H23" s="53">
        <v>-10.0</v>
      </c>
      <c r="I23" s="53">
        <v>0.0</v>
      </c>
      <c r="J23" s="54">
        <f t="shared" ref="J23:J24" si="3">SUM(C23:I23)</f>
        <v>39.59847495</v>
      </c>
      <c r="K23" s="47"/>
      <c r="L23" s="47"/>
    </row>
    <row r="24">
      <c r="B24" s="55" t="s">
        <v>35</v>
      </c>
      <c r="C24" s="56">
        <f>D6*E14</f>
        <v>23.59847495</v>
      </c>
      <c r="D24" s="57">
        <f t="shared" ref="D24:G24" si="2">D23</f>
        <v>9</v>
      </c>
      <c r="E24" s="57">
        <f t="shared" si="2"/>
        <v>5</v>
      </c>
      <c r="F24" s="58">
        <f t="shared" si="2"/>
        <v>12</v>
      </c>
      <c r="G24" s="59">
        <f t="shared" si="2"/>
        <v>0</v>
      </c>
      <c r="H24" s="59">
        <v>0.0</v>
      </c>
      <c r="I24" s="59">
        <v>0.0</v>
      </c>
      <c r="J24" s="60">
        <f t="shared" si="3"/>
        <v>49.59847495</v>
      </c>
      <c r="K24" s="47"/>
      <c r="L24" s="47"/>
    </row>
    <row r="25" ht="16.5" customHeight="1">
      <c r="C25" s="61"/>
      <c r="D25" s="61"/>
      <c r="E25" s="61"/>
      <c r="F25" s="61"/>
      <c r="G25" s="47"/>
      <c r="H25" s="47"/>
      <c r="I25" s="47"/>
      <c r="J25" s="47"/>
      <c r="K25" s="47"/>
      <c r="L25" s="47"/>
    </row>
    <row r="26" ht="16.5" customHeight="1">
      <c r="C26" s="62" t="s">
        <v>36</v>
      </c>
      <c r="D26" s="63" t="s">
        <v>37</v>
      </c>
      <c r="E26" s="63" t="s">
        <v>38</v>
      </c>
      <c r="F26" s="64" t="s">
        <v>27</v>
      </c>
      <c r="G26" s="47"/>
      <c r="H26" s="47"/>
      <c r="I26" s="47"/>
      <c r="J26" s="47"/>
      <c r="K26" s="47"/>
      <c r="L26" s="47"/>
    </row>
    <row r="27" ht="16.5" customHeight="1">
      <c r="B27" s="65" t="s">
        <v>39</v>
      </c>
      <c r="C27" s="66">
        <f>(MIN(J23, 40)*10%) + (MIN(J24, 40)*10%)</f>
        <v>7.959847495</v>
      </c>
      <c r="D27" s="67">
        <f>IF(AND(J23&gt;40, J24&gt; 40), 8, 0)</f>
        <v>0</v>
      </c>
      <c r="E27" s="68">
        <f>MAX(((J23-40)*30%), 0) + MAX(((J24-40)*30%), 0)</f>
        <v>2.879542484</v>
      </c>
      <c r="F27" s="69">
        <f>MIN(SUM(C27:E27), 24)</f>
        <v>10.83938998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</sheetData>
  <mergeCells count="1">
    <mergeCell ref="B2:K2"/>
  </mergeCells>
  <dataValidations>
    <dataValidation type="list" allowBlank="1" showErrorMessage="1" sqref="H8">
      <formula1>$C$8:$E$8</formula1>
    </dataValidation>
  </dataValidations>
  <printOptions/>
  <pageMargins bottom="0.75" footer="0.0" header="0.0" left="0.7" right="0.7" top="0.75"/>
  <pageSetup paperSize="9" orientation="portrait"/>
  <drawing r:id="rId1"/>
</worksheet>
</file>